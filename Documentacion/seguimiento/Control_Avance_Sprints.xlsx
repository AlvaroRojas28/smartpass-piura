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yenda" sheetId="1" state="visible" r:id="rId3"/>
    <sheet name="Sprint 1" sheetId="2" state="visible" r:id="rId4"/>
    <sheet name="Sprint 2" sheetId="3" state="visible" r:id="rId5"/>
    <sheet name="Gener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<sst xmlns="http://schemas.openxmlformats.org/spreadsheetml/2006/main" count="84" uniqueCount="69">
  <si>
    <t xml:space="preserve">Control de avance de sprints - SmartPass Piura</t>
  </si>
  <si>
    <t xml:space="preserve">Hojas: 'Sprint 1' y 'Sprint 2' (burndown por tarea) y 'General' (avance acumulado del proyecto).</t>
  </si>
  <si>
    <t xml:space="preserve">Cómo usarlo: en cada hoja de sprint edita la 'Semana real de cierre' de cada tarea (columna D, en azul). Los gráficos se actualizan solos.</t>
  </si>
  <si>
    <t xml:space="preserve">Las horas estimadas son la planificación del equipo. Los valores reales precargados son DE EJEMPLO: reemplázalos antes de entregar.</t>
  </si>
  <si>
    <t xml:space="preserve">Burndown ideal = descenso lineal; planificado = según la semana prevista de cada tarea; real = según la semana en que realmente se cerró.</t>
  </si>
  <si>
    <t xml:space="preserve">Para el informe: copia cada gráfico (clic derecho &gt; Copiar) y pégalo en Word como imagen.</t>
  </si>
  <si>
    <t xml:space="preserve">Sprint 1: Módulo Portal del Pasajero (S5-S8)</t>
  </si>
  <si>
    <t xml:space="preserve">Celdas en azul = datos que debes editar. Las horas son estimaciones de planificación; la 'Semana real de cierre' son datos de EJEMPLO: reemplázalos con tu registro real (Trello / commits de GitHub).</t>
  </si>
  <si>
    <t xml:space="preserve">Tarea</t>
  </si>
  <si>
    <t xml:space="preserve">Horas estimadas</t>
  </si>
  <si>
    <t xml:space="preserve">Semana planificada</t>
  </si>
  <si>
    <t xml:space="preserve">Semana real de cierre</t>
  </si>
  <si>
    <t xml:space="preserve">BPM Registrar Usuario</t>
  </si>
  <si>
    <t xml:space="preserve">BPM Recargar Saldo</t>
  </si>
  <si>
    <t xml:space="preserve">BPM Generar Código QR</t>
  </si>
  <si>
    <t xml:space="preserve">Caso de Uso Registrar Usuario</t>
  </si>
  <si>
    <t xml:space="preserve">Caso de Uso Recargar Saldo</t>
  </si>
  <si>
    <t xml:space="preserve">Caso de Uso Generar Código QR</t>
  </si>
  <si>
    <t xml:space="preserve">Diagrama de Secuencia Registrar Usuario</t>
  </si>
  <si>
    <t xml:space="preserve">Diagrama de Secuencia Recargar Saldo</t>
  </si>
  <si>
    <t xml:space="preserve">Diagrama de Secuencia Generar Código QR</t>
  </si>
  <si>
    <t xml:space="preserve">Diccionario de datos (Usuario y Recarga)</t>
  </si>
  <si>
    <t xml:space="preserve">Prototipos (3 pantallas)</t>
  </si>
  <si>
    <t xml:space="preserve">Algoritmo Core (3 procesos)</t>
  </si>
  <si>
    <t xml:space="preserve">Pruebas funcionales PF0001-PF0003</t>
  </si>
  <si>
    <t xml:space="preserve">Total del sprint (horas)</t>
  </si>
  <si>
    <t xml:space="preserve">Burndown del sprint (horas pendientes al cierre de cada semana)</t>
  </si>
  <si>
    <t xml:space="preserve">Semana</t>
  </si>
  <si>
    <t xml:space="preserve">Pendiente ideal</t>
  </si>
  <si>
    <t xml:space="preserve">Pendiente planificado</t>
  </si>
  <si>
    <t xml:space="preserve">Pendiente real</t>
  </si>
  <si>
    <t xml:space="preserve">Inicio</t>
  </si>
  <si>
    <t xml:space="preserve">S5</t>
  </si>
  <si>
    <t xml:space="preserve">S6</t>
  </si>
  <si>
    <t xml:space="preserve">S7</t>
  </si>
  <si>
    <t xml:space="preserve">S8</t>
  </si>
  <si>
    <t xml:space="preserve">Sprint 2: Validación de Pago y Panel Administrativo (S9-S12)</t>
  </si>
  <si>
    <t xml:space="preserve">BPM Validar Pago con QR</t>
  </si>
  <si>
    <t xml:space="preserve">BPM Registrar Transacción</t>
  </si>
  <si>
    <t xml:space="preserve">BPM Generar Reporte de Recaudación</t>
  </si>
  <si>
    <t xml:space="preserve">Caso de Uso Validar Pago con QR</t>
  </si>
  <si>
    <t xml:space="preserve">Caso de Uso Registrar Transacción</t>
  </si>
  <si>
    <t xml:space="preserve">Caso de Uso Generar Reporte</t>
  </si>
  <si>
    <t xml:space="preserve">Diagrama de Secuencia Validar Pago</t>
  </si>
  <si>
    <t xml:space="preserve">Diagrama de Secuencia Registrar Transacción</t>
  </si>
  <si>
    <t xml:space="preserve">Diagrama de Secuencia Generar Reporte</t>
  </si>
  <si>
    <t xml:space="preserve">Diccionarios de datos (5 tablas)</t>
  </si>
  <si>
    <t xml:space="preserve">Pruebas funcionales PF0004-PF0006</t>
  </si>
  <si>
    <t xml:space="preserve">S9</t>
  </si>
  <si>
    <t xml:space="preserve">S10</t>
  </si>
  <si>
    <t xml:space="preserve">S11</t>
  </si>
  <si>
    <t xml:space="preserve">S12</t>
  </si>
  <si>
    <t xml:space="preserve">Avance general del proyecto (horas acumuladas, estimado vs realizado)</t>
  </si>
  <si>
    <t xml:space="preserve">Planificación/Diseño y Medición/Cierre se editan aquí; los Sprints se calculan desde sus hojas.</t>
  </si>
  <si>
    <t xml:space="preserve">Plan: planificación y diseño</t>
  </si>
  <si>
    <t xml:space="preserve">Plan: Sprint 1</t>
  </si>
  <si>
    <t xml:space="preserve">Plan: Sprint 2</t>
  </si>
  <si>
    <t xml:space="preserve">Plan: medición y cierre</t>
  </si>
  <si>
    <t xml:space="preserve">Plan semanal</t>
  </si>
  <si>
    <t xml:space="preserve">Plan acumulado</t>
  </si>
  <si>
    <t xml:space="preserve">Real: planificación y diseño</t>
  </si>
  <si>
    <t xml:space="preserve">Real: Sprint 1</t>
  </si>
  <si>
    <t xml:space="preserve">Real: Sprint 2</t>
  </si>
  <si>
    <t xml:space="preserve">Real semanal</t>
  </si>
  <si>
    <t xml:space="preserve">Real acumulado</t>
  </si>
  <si>
    <t xml:space="preserve">% plan</t>
  </si>
  <si>
    <t xml:space="preserve">% real</t>
  </si>
  <si>
    <t xml:space="preserve">Avance real a la semana 12</t>
  </si>
  <si>
    <t xml:space="preserve">Avance planificado a la semana 12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</si>
</sst>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B91C1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B91C1C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Sprint 1 - Burndown (estimado vs realizado)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'Sprint 1'!B21</c:f>
              <c:strCache>
                <c:ptCount val="1"/>
                <c:pt idx="0">
                  <c:v>Pendiente ideal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1'!$A$22:$A$26</c:f>
              <c:strCache>
                <c:ptCount val="5"/>
                <c:pt idx="0">
                  <c:v>Inicio</c:v>
                </c:pt>
                <c:pt idx="1">
                  <c:v>S5</c:v>
                </c:pt>
                <c:pt idx="2">
                  <c:v>S6</c:v>
                </c:pt>
                <c:pt idx="3">
                  <c:v>S7</c:v>
                </c:pt>
                <c:pt idx="4">
                  <c:v>S8</c:v>
                </c:pt>
              </c:strCache>
            </c:strRef>
          </c:cat>
          <c:val>
            <c:numRef>
              <c:f>'Sprint 1'!$B$22:$B$26</c:f>
              <c:numCache>
                <c:formatCode>0.0</c:formatCode>
                <c:ptCount val="5"/>
                <c:pt idx="0">
                  <c:v>64</c:v>
                </c:pt>
                <c:pt idx="1">
                  <c:v>48</c:v>
                </c:pt>
                <c:pt idx="2">
                  <c:v>32</c:v>
                </c:pt>
                <c:pt idx="3">
                  <c:v>16</c:v>
                </c:pt>
                <c:pt idx="4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'Sprint 1'!C21</c:f>
              <c:strCache>
                <c:ptCount val="1"/>
                <c:pt idx="0">
                  <c:v>Pendiente planificado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1'!$A$22:$A$26</c:f>
              <c:strCache>
                <c:ptCount val="5"/>
                <c:pt idx="0">
                  <c:v>Inicio</c:v>
                </c:pt>
                <c:pt idx="1">
                  <c:v>S5</c:v>
                </c:pt>
                <c:pt idx="2">
                  <c:v>S6</c:v>
                </c:pt>
                <c:pt idx="3">
                  <c:v>S7</c:v>
                </c:pt>
                <c:pt idx="4">
                  <c:v>S8</c:v>
                </c:pt>
              </c:strCache>
            </c:strRef>
          </c:cat>
          <c:val>
            <c:numRef>
              <c:f>'Sprint 1'!$C$22:$C$26</c:f>
              <c:numCache>
                <c:formatCode>0.0</c:formatCode>
                <c:ptCount val="5"/>
                <c:pt idx="0">
                  <c:v>64</c:v>
                </c:pt>
                <c:pt idx="1">
                  <c:v>58</c:v>
                </c:pt>
                <c:pt idx="2">
                  <c:v>51</c:v>
                </c:pt>
                <c:pt idx="3">
                  <c:v>37</c:v>
                </c:pt>
                <c:pt idx="4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'Sprint 1'!D21</c:f>
              <c:strCache>
                <c:ptCount val="1"/>
                <c:pt idx="0">
                  <c:v>Pendiente real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1'!$A$22:$A$26</c:f>
              <c:strCache>
                <c:ptCount val="5"/>
                <c:pt idx="0">
                  <c:v>Inicio</c:v>
                </c:pt>
                <c:pt idx="1">
                  <c:v>S5</c:v>
                </c:pt>
                <c:pt idx="2">
                  <c:v>S6</c:v>
                </c:pt>
                <c:pt idx="3">
                  <c:v>S7</c:v>
                </c:pt>
                <c:pt idx="4">
                  <c:v>S8</c:v>
                </c:pt>
              </c:strCache>
            </c:strRef>
          </c:cat>
          <c:val>
            <c:numRef>
              <c:f>'Sprint 1'!$D$22:$D$26</c:f>
              <c:numCache>
                <c:formatCode>0.0</c:formatCode>
                <c:ptCount val="5"/>
                <c:pt idx="0">
                  <c:v>64</c:v>
                </c:pt>
                <c:pt idx="1">
                  <c:v>58</c:v>
                </c:pt>
                <c:pt idx="2">
                  <c:v>51</c:v>
                </c:pt>
                <c:pt idx="3">
                  <c:v>43</c:v>
                </c:pt>
                <c:pt idx="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20099"/>
        <c:axId val="72580952"/>
      </c:lineChart>
      <c:catAx>
        <c:axId val="51200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80952"/>
        <c:crosses val="autoZero"/>
        <c:auto val="1"/>
        <c:lblAlgn val="ctr"/>
        <c:lblOffset val="100"/>
        <c:noMultiLvlLbl val="0"/>
      </c:catAx>
      <c:valAx>
        <c:axId val="725809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pendientes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00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Sprint 2 - Burndown (estimado vs realizado)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'Sprint 2'!B21</c:f>
              <c:strCache>
                <c:ptCount val="1"/>
                <c:pt idx="0">
                  <c:v>Pendiente ideal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2'!$A$22:$A$26</c:f>
              <c:strCache>
                <c:ptCount val="5"/>
                <c:pt idx="0">
                  <c:v>Inicio</c:v>
                </c:pt>
                <c:pt idx="1">
                  <c:v>S9</c:v>
                </c:pt>
                <c:pt idx="2">
                  <c:v>S10</c:v>
                </c:pt>
                <c:pt idx="3">
                  <c:v>S11</c:v>
                </c:pt>
                <c:pt idx="4">
                  <c:v>S12</c:v>
                </c:pt>
              </c:strCache>
            </c:strRef>
          </c:cat>
          <c:val>
            <c:numRef>
              <c:f>'Sprint 2'!$B$22:$B$26</c:f>
              <c:numCache>
                <c:formatCode>0.0</c:formatCode>
                <c:ptCount val="5"/>
                <c:pt idx="0">
                  <c:v>77</c:v>
                </c:pt>
                <c:pt idx="1">
                  <c:v>57.75</c:v>
                </c:pt>
                <c:pt idx="2">
                  <c:v>38.5</c:v>
                </c:pt>
                <c:pt idx="3">
                  <c:v>19.25</c:v>
                </c:pt>
                <c:pt idx="4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'Sprint 2'!C21</c:f>
              <c:strCache>
                <c:ptCount val="1"/>
                <c:pt idx="0">
                  <c:v>Pendiente planificado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2'!$A$22:$A$26</c:f>
              <c:strCache>
                <c:ptCount val="5"/>
                <c:pt idx="0">
                  <c:v>Inicio</c:v>
                </c:pt>
                <c:pt idx="1">
                  <c:v>S9</c:v>
                </c:pt>
                <c:pt idx="2">
                  <c:v>S10</c:v>
                </c:pt>
                <c:pt idx="3">
                  <c:v>S11</c:v>
                </c:pt>
                <c:pt idx="4">
                  <c:v>S12</c:v>
                </c:pt>
              </c:strCache>
            </c:strRef>
          </c:cat>
          <c:val>
            <c:numRef>
              <c:f>'Sprint 2'!$C$22:$C$26</c:f>
              <c:numCache>
                <c:formatCode>0.0</c:formatCode>
                <c:ptCount val="5"/>
                <c:pt idx="0">
                  <c:v>77</c:v>
                </c:pt>
                <c:pt idx="1">
                  <c:v>71</c:v>
                </c:pt>
                <c:pt idx="2">
                  <c:v>62</c:v>
                </c:pt>
                <c:pt idx="3">
                  <c:v>49</c:v>
                </c:pt>
                <c:pt idx="4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'Sprint 2'!D21</c:f>
              <c:strCache>
                <c:ptCount val="1"/>
                <c:pt idx="0">
                  <c:v>Pendiente real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2'!$A$22:$A$26</c:f>
              <c:strCache>
                <c:ptCount val="5"/>
                <c:pt idx="0">
                  <c:v>Inicio</c:v>
                </c:pt>
                <c:pt idx="1">
                  <c:v>S9</c:v>
                </c:pt>
                <c:pt idx="2">
                  <c:v>S10</c:v>
                </c:pt>
                <c:pt idx="3">
                  <c:v>S11</c:v>
                </c:pt>
                <c:pt idx="4">
                  <c:v>S12</c:v>
                </c:pt>
              </c:strCache>
            </c:strRef>
          </c:cat>
          <c:val>
            <c:numRef>
              <c:f>'Sprint 2'!$D$22:$D$26</c:f>
              <c:numCache>
                <c:formatCode>0.0</c:formatCode>
                <c:ptCount val="5"/>
                <c:pt idx="0">
                  <c:v>77</c:v>
                </c:pt>
                <c:pt idx="1">
                  <c:v>71</c:v>
                </c:pt>
                <c:pt idx="2">
                  <c:v>64</c:v>
                </c:pt>
                <c:pt idx="3">
                  <c:v>49</c:v>
                </c:pt>
                <c:pt idx="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081592"/>
        <c:axId val="15569357"/>
      </c:lineChart>
      <c:catAx>
        <c:axId val="480815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69357"/>
        <c:crosses val="autoZero"/>
        <c:auto val="1"/>
        <c:lblAlgn val="ctr"/>
        <c:lblOffset val="100"/>
        <c:noMultiLvlLbl val="0"/>
      </c:catAx>
      <c:valAx>
        <c:axId val="155693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pendientes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815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Avance acumulado del proyecto (horas)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General!G4</c:f>
              <c:strCache>
                <c:ptCount val="1"/>
                <c:pt idx="0">
                  <c:v>Plan acumulado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General!$A$5:$A$22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General!$G$5:$G$22</c:f>
              <c:numCache>
                <c:formatCode>General</c:formatCode>
                <c:ptCount val="18"/>
                <c:pt idx="0">
                  <c:v>9</c:v>
                </c:pt>
                <c:pt idx="1">
                  <c:v>18</c:v>
                </c:pt>
                <c:pt idx="2">
                  <c:v>27</c:v>
                </c:pt>
                <c:pt idx="3">
                  <c:v>36</c:v>
                </c:pt>
                <c:pt idx="4">
                  <c:v>49</c:v>
                </c:pt>
                <c:pt idx="5">
                  <c:v>63</c:v>
                </c:pt>
                <c:pt idx="6">
                  <c:v>84</c:v>
                </c:pt>
                <c:pt idx="7">
                  <c:v>128</c:v>
                </c:pt>
                <c:pt idx="8">
                  <c:v>134</c:v>
                </c:pt>
                <c:pt idx="9">
                  <c:v>143</c:v>
                </c:pt>
                <c:pt idx="10">
                  <c:v>156</c:v>
                </c:pt>
                <c:pt idx="11">
                  <c:v>205</c:v>
                </c:pt>
                <c:pt idx="12">
                  <c:v>215</c:v>
                </c:pt>
                <c:pt idx="13">
                  <c:v>225</c:v>
                </c:pt>
                <c:pt idx="14">
                  <c:v>237</c:v>
                </c:pt>
                <c:pt idx="15">
                  <c:v>249</c:v>
                </c:pt>
                <c:pt idx="16">
                  <c:v>273</c:v>
                </c:pt>
                <c:pt idx="17">
                  <c:v>285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General!L4</c:f>
              <c:strCache>
                <c:ptCount val="1"/>
                <c:pt idx="0">
                  <c:v>Real acumulado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General!$A$5:$A$22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General!$L$5:$L$22</c:f>
              <c:numCache>
                <c:formatCode>General</c:formatCode>
                <c:ptCount val="18"/>
                <c:pt idx="0">
                  <c:v>8</c:v>
                </c:pt>
                <c:pt idx="1">
                  <c:v>18</c:v>
                </c:pt>
                <c:pt idx="2">
                  <c:v>27</c:v>
                </c:pt>
                <c:pt idx="3">
                  <c:v>36</c:v>
                </c:pt>
                <c:pt idx="4">
                  <c:v>49</c:v>
                </c:pt>
                <c:pt idx="5">
                  <c:v>63</c:v>
                </c:pt>
                <c:pt idx="6">
                  <c:v>78</c:v>
                </c:pt>
                <c:pt idx="7">
                  <c:v>128</c:v>
                </c:pt>
                <c:pt idx="8">
                  <c:v>134</c:v>
                </c:pt>
                <c:pt idx="9">
                  <c:v>141</c:v>
                </c:pt>
                <c:pt idx="10">
                  <c:v>156</c:v>
                </c:pt>
                <c:pt idx="11">
                  <c:v>205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702271"/>
        <c:axId val="46703707"/>
      </c:lineChart>
      <c:catAx>
        <c:axId val="647022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03707"/>
        <c:crosses val="autoZero"/>
        <c:auto val="1"/>
        <c:lblAlgn val="ctr"/>
        <c:lblOffset val="100"/>
        <c:noMultiLvlLbl val="0"/>
      </c:catAx>
      <c:valAx>
        <c:axId val="467037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acumuladas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022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160560</xdr:rowOff>
    </xdr:from>
    <xdr:to>
      <xdr:col>15</xdr:col>
      <xdr:colOff>4320</xdr:colOff>
      <xdr:row>18</xdr:row>
      <xdr:rowOff>59760</xdr:rowOff>
    </xdr:to>
    <xdr:graphicFrame>
      <xdr:nvGraphicFramePr>
        <xdr:cNvPr id="0" name="Chart 1"/>
        <xdr:cNvGraphicFramePr/>
      </xdr:nvGraphicFramePr>
      <xdr:xfrm>
        <a:off x="7448400" y="8571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160560</xdr:rowOff>
    </xdr:from>
    <xdr:to>
      <xdr:col>15</xdr:col>
      <xdr:colOff>4320</xdr:colOff>
      <xdr:row>18</xdr:row>
      <xdr:rowOff>59760</xdr:rowOff>
    </xdr:to>
    <xdr:graphicFrame>
      <xdr:nvGraphicFramePr>
        <xdr:cNvPr id="1" name="Chart 1"/>
        <xdr:cNvGraphicFramePr/>
      </xdr:nvGraphicFramePr>
      <xdr:xfrm>
        <a:off x="7448400" y="8571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160560</xdr:rowOff>
    </xdr:from>
    <xdr:to>
      <xdr:col>7</xdr:col>
      <xdr:colOff>574200</xdr:colOff>
      <xdr:row>43</xdr:row>
      <xdr:rowOff>161640</xdr:rowOff>
    </xdr:to>
    <xdr:graphicFrame>
      <xdr:nvGraphicFramePr>
        <xdr:cNvPr id="2" name="Chart 1"/>
        <xdr:cNvGraphicFramePr/>
      </xdr:nvGraphicFramePr>
      <xdr:xfrm>
        <a:off x="0" y="548640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7"/>
  </cols>
  <sheetData>
    <row r="1" customFormat="false" ht="17.35" hidden="false" customHeight="false" outlineLevel="0" collapsed="false">
      <c r="A1" s="1" t="s">
        <v>6</v>
      </c>
    </row>
    <row r="2" customFormat="false" ht="37.5" hidden="false" customHeight="true" outlineLevel="0" collapsed="false">
      <c r="A2" s="3" t="s">
        <v>7</v>
      </c>
      <c r="B2" s="3"/>
      <c r="C2" s="3"/>
      <c r="D2" s="3"/>
      <c r="E2" s="3"/>
      <c r="F2" s="3"/>
    </row>
    <row r="4" customFormat="false" ht="23.85" hidden="false" customHeight="false" outlineLevel="0" collapsed="false">
      <c r="A4" s="4" t="s">
        <v>8</v>
      </c>
      <c r="B4" s="4" t="s">
        <v>9</v>
      </c>
      <c r="C4" s="4" t="s">
        <v>10</v>
      </c>
      <c r="D4" s="4" t="s">
        <v>11</v>
      </c>
    </row>
    <row r="5" customFormat="false" ht="15" hidden="false" customHeight="false" outlineLevel="0" collapsed="false">
      <c r="A5" s="5" t="s">
        <v>12</v>
      </c>
      <c r="B5" s="6" t="n">
        <v>3</v>
      </c>
      <c r="C5" s="6" t="n">
        <v>5</v>
      </c>
      <c r="D5" s="6" t="n">
        <v>5</v>
      </c>
    </row>
    <row r="6" customFormat="false" ht="15" hidden="false" customHeight="false" outlineLevel="0" collapsed="false">
      <c r="A6" s="5" t="s">
        <v>13</v>
      </c>
      <c r="B6" s="6" t="n">
        <v>3</v>
      </c>
      <c r="C6" s="6" t="n">
        <v>5</v>
      </c>
      <c r="D6" s="6" t="n">
        <v>5</v>
      </c>
    </row>
    <row r="7" customFormat="false" ht="15" hidden="false" customHeight="false" outlineLevel="0" collapsed="false">
      <c r="A7" s="5" t="s">
        <v>14</v>
      </c>
      <c r="B7" s="6" t="n">
        <v>3</v>
      </c>
      <c r="C7" s="6" t="n">
        <v>6</v>
      </c>
      <c r="D7" s="6" t="n">
        <v>6</v>
      </c>
    </row>
    <row r="8" customFormat="false" ht="15" hidden="false" customHeight="false" outlineLevel="0" collapsed="false">
      <c r="A8" s="5" t="s">
        <v>15</v>
      </c>
      <c r="B8" s="6" t="n">
        <v>2</v>
      </c>
      <c r="C8" s="6" t="n">
        <v>6</v>
      </c>
      <c r="D8" s="6" t="n">
        <v>6</v>
      </c>
    </row>
    <row r="9" customFormat="false" ht="15" hidden="false" customHeight="false" outlineLevel="0" collapsed="false">
      <c r="A9" s="5" t="s">
        <v>16</v>
      </c>
      <c r="B9" s="6" t="n">
        <v>2</v>
      </c>
      <c r="C9" s="6" t="n">
        <v>6</v>
      </c>
      <c r="D9" s="6" t="n">
        <v>6</v>
      </c>
    </row>
    <row r="10" customFormat="false" ht="15" hidden="false" customHeight="false" outlineLevel="0" collapsed="false">
      <c r="A10" s="5" t="s">
        <v>17</v>
      </c>
      <c r="B10" s="6" t="n">
        <v>2</v>
      </c>
      <c r="C10" s="6" t="n">
        <v>7</v>
      </c>
      <c r="D10" s="6" t="n">
        <v>7</v>
      </c>
    </row>
    <row r="11" customFormat="false" ht="15" hidden="false" customHeight="false" outlineLevel="0" collapsed="false">
      <c r="A11" s="5" t="s">
        <v>18</v>
      </c>
      <c r="B11" s="6" t="n">
        <v>3</v>
      </c>
      <c r="C11" s="6" t="n">
        <v>7</v>
      </c>
      <c r="D11" s="6" t="n">
        <v>7</v>
      </c>
    </row>
    <row r="12" customFormat="false" ht="15" hidden="false" customHeight="false" outlineLevel="0" collapsed="false">
      <c r="A12" s="5" t="s">
        <v>19</v>
      </c>
      <c r="B12" s="6" t="n">
        <v>3</v>
      </c>
      <c r="C12" s="6" t="n">
        <v>7</v>
      </c>
      <c r="D12" s="6" t="n">
        <v>8</v>
      </c>
    </row>
    <row r="13" customFormat="false" ht="15" hidden="false" customHeight="false" outlineLevel="0" collapsed="false">
      <c r="A13" s="5" t="s">
        <v>20</v>
      </c>
      <c r="B13" s="6" t="n">
        <v>3</v>
      </c>
      <c r="C13" s="6" t="n">
        <v>7</v>
      </c>
      <c r="D13" s="6" t="n">
        <v>8</v>
      </c>
    </row>
    <row r="14" customFormat="false" ht="15" hidden="false" customHeight="false" outlineLevel="0" collapsed="false">
      <c r="A14" s="5" t="s">
        <v>21</v>
      </c>
      <c r="B14" s="6" t="n">
        <v>3</v>
      </c>
      <c r="C14" s="6" t="n">
        <v>7</v>
      </c>
      <c r="D14" s="6" t="n">
        <v>7</v>
      </c>
    </row>
    <row r="15" customFormat="false" ht="15" hidden="false" customHeight="false" outlineLevel="0" collapsed="false">
      <c r="A15" s="5" t="s">
        <v>22</v>
      </c>
      <c r="B15" s="6" t="n">
        <v>9</v>
      </c>
      <c r="C15" s="6" t="n">
        <v>8</v>
      </c>
      <c r="D15" s="6" t="n">
        <v>8</v>
      </c>
    </row>
    <row r="16" customFormat="false" ht="15" hidden="false" customHeight="false" outlineLevel="0" collapsed="false">
      <c r="A16" s="5" t="s">
        <v>23</v>
      </c>
      <c r="B16" s="6" t="n">
        <v>22</v>
      </c>
      <c r="C16" s="6" t="n">
        <v>8</v>
      </c>
      <c r="D16" s="6" t="n">
        <v>8</v>
      </c>
    </row>
    <row r="17" customFormat="false" ht="15" hidden="false" customHeight="false" outlineLevel="0" collapsed="false">
      <c r="A17" s="5" t="s">
        <v>24</v>
      </c>
      <c r="B17" s="6" t="n">
        <v>6</v>
      </c>
      <c r="C17" s="6" t="n">
        <v>8</v>
      </c>
      <c r="D17" s="6" t="n">
        <v>8</v>
      </c>
    </row>
    <row r="18" customFormat="false" ht="15" hidden="false" customHeight="false" outlineLevel="0" collapsed="false">
      <c r="A18" s="7" t="s">
        <v>25</v>
      </c>
      <c r="B18" s="8" t="n">
        <f aca="false">SUM(B5:B17)</f>
        <v>64</v>
      </c>
    </row>
    <row r="20" customFormat="false" ht="15" hidden="false" customHeight="false" outlineLevel="0" collapsed="false">
      <c r="A20" s="7" t="s">
        <v>26</v>
      </c>
    </row>
    <row r="21" customFormat="false" ht="23.85" hidden="false" customHeight="false" outlineLevel="0" collapsed="false">
      <c r="A21" s="4" t="s">
        <v>27</v>
      </c>
      <c r="B21" s="4" t="s">
        <v>28</v>
      </c>
      <c r="C21" s="4" t="s">
        <v>29</v>
      </c>
      <c r="D21" s="4" t="s">
        <v>30</v>
      </c>
    </row>
    <row r="22" customFormat="false" ht="15" hidden="false" customHeight="false" outlineLevel="0" collapsed="false">
      <c r="A22" s="9" t="s">
        <v>31</v>
      </c>
      <c r="B22" s="10" t="n">
        <f aca="false">$B$18</f>
        <v>64</v>
      </c>
      <c r="C22" s="10" t="n">
        <f aca="false">$B$18</f>
        <v>64</v>
      </c>
      <c r="D22" s="10" t="n">
        <f aca="false">$B$18</f>
        <v>64</v>
      </c>
    </row>
    <row r="23" customFormat="false" ht="15" hidden="false" customHeight="false" outlineLevel="0" collapsed="false">
      <c r="A23" s="9" t="s">
        <v>32</v>
      </c>
      <c r="B23" s="10" t="n">
        <f aca="false">$B$18*(1-1/4)</f>
        <v>48</v>
      </c>
      <c r="C23" s="10" t="n">
        <f aca="false">$B$18-SUMIF($C$5:$C$17,"&lt;="&amp;5,$B$5:$B$17)</f>
        <v>58</v>
      </c>
      <c r="D23" s="10" t="n">
        <f aca="false">$B$18-SUMIF($D$5:$D$17,"&lt;="&amp;5,$B$5:$B$17)</f>
        <v>58</v>
      </c>
    </row>
    <row r="24" customFormat="false" ht="15" hidden="false" customHeight="false" outlineLevel="0" collapsed="false">
      <c r="A24" s="9" t="s">
        <v>33</v>
      </c>
      <c r="B24" s="10" t="n">
        <f aca="false">$B$18*(1-2/4)</f>
        <v>32</v>
      </c>
      <c r="C24" s="10" t="n">
        <f aca="false">$B$18-SUMIF($C$5:$C$17,"&lt;="&amp;6,$B$5:$B$17)</f>
        <v>51</v>
      </c>
      <c r="D24" s="10" t="n">
        <f aca="false">$B$18-SUMIF($D$5:$D$17,"&lt;="&amp;6,$B$5:$B$17)</f>
        <v>51</v>
      </c>
    </row>
    <row r="25" customFormat="false" ht="15" hidden="false" customHeight="false" outlineLevel="0" collapsed="false">
      <c r="A25" s="9" t="s">
        <v>34</v>
      </c>
      <c r="B25" s="10" t="n">
        <f aca="false">$B$18*(1-3/4)</f>
        <v>16</v>
      </c>
      <c r="C25" s="10" t="n">
        <f aca="false">$B$18-SUMIF($C$5:$C$17,"&lt;="&amp;7,$B$5:$B$17)</f>
        <v>37</v>
      </c>
      <c r="D25" s="10" t="n">
        <f aca="false">$B$18-SUMIF($D$5:$D$17,"&lt;="&amp;7,$B$5:$B$17)</f>
        <v>43</v>
      </c>
    </row>
    <row r="26" customFormat="false" ht="15" hidden="false" customHeight="false" outlineLevel="0" collapsed="false">
      <c r="A26" s="9" t="s">
        <v>35</v>
      </c>
      <c r="B26" s="10" t="n">
        <f aca="false">$B$18*(1-4/4)</f>
        <v>0</v>
      </c>
      <c r="C26" s="10" t="n">
        <f aca="false">$B$18-SUMIF($C$5:$C$17,"&lt;="&amp;8,$B$5:$B$17)</f>
        <v>0</v>
      </c>
      <c r="D26" s="10" t="n">
        <f aca="false">$B$18-SUMIF($D$5:$D$17,"&lt;="&amp;8,$B$5:$B$17)</f>
        <v>0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7"/>
  </cols>
  <sheetData>
    <row r="1" customFormat="false" ht="17.35" hidden="false" customHeight="false" outlineLevel="0" collapsed="false">
      <c r="A1" s="1" t="s">
        <v>36</v>
      </c>
    </row>
    <row r="2" customFormat="false" ht="37.5" hidden="false" customHeight="true" outlineLevel="0" collapsed="false">
      <c r="A2" s="3" t="s">
        <v>7</v>
      </c>
      <c r="B2" s="3"/>
      <c r="C2" s="3"/>
      <c r="D2" s="3"/>
      <c r="E2" s="3"/>
      <c r="F2" s="3"/>
    </row>
    <row r="4" customFormat="false" ht="23.85" hidden="false" customHeight="false" outlineLevel="0" collapsed="false">
      <c r="A4" s="4" t="s">
        <v>8</v>
      </c>
      <c r="B4" s="4" t="s">
        <v>9</v>
      </c>
      <c r="C4" s="4" t="s">
        <v>10</v>
      </c>
      <c r="D4" s="4" t="s">
        <v>11</v>
      </c>
    </row>
    <row r="5" customFormat="false" ht="15" hidden="false" customHeight="false" outlineLevel="0" collapsed="false">
      <c r="A5" s="5" t="s">
        <v>37</v>
      </c>
      <c r="B5" s="6" t="n">
        <v>3</v>
      </c>
      <c r="C5" s="6" t="n">
        <v>9</v>
      </c>
      <c r="D5" s="6" t="n">
        <v>9</v>
      </c>
    </row>
    <row r="6" customFormat="false" ht="15" hidden="false" customHeight="false" outlineLevel="0" collapsed="false">
      <c r="A6" s="5" t="s">
        <v>38</v>
      </c>
      <c r="B6" s="6" t="n">
        <v>3</v>
      </c>
      <c r="C6" s="6" t="n">
        <v>9</v>
      </c>
      <c r="D6" s="6" t="n">
        <v>9</v>
      </c>
    </row>
    <row r="7" customFormat="false" ht="15" hidden="false" customHeight="false" outlineLevel="0" collapsed="false">
      <c r="A7" s="5" t="s">
        <v>39</v>
      </c>
      <c r="B7" s="6" t="n">
        <v>3</v>
      </c>
      <c r="C7" s="6" t="n">
        <v>10</v>
      </c>
      <c r="D7" s="6" t="n">
        <v>10</v>
      </c>
    </row>
    <row r="8" customFormat="false" ht="15" hidden="false" customHeight="false" outlineLevel="0" collapsed="false">
      <c r="A8" s="5" t="s">
        <v>40</v>
      </c>
      <c r="B8" s="6" t="n">
        <v>2</v>
      </c>
      <c r="C8" s="6" t="n">
        <v>10</v>
      </c>
      <c r="D8" s="6" t="n">
        <v>10</v>
      </c>
    </row>
    <row r="9" customFormat="false" ht="15" hidden="false" customHeight="false" outlineLevel="0" collapsed="false">
      <c r="A9" s="5" t="s">
        <v>41</v>
      </c>
      <c r="B9" s="6" t="n">
        <v>2</v>
      </c>
      <c r="C9" s="6" t="n">
        <v>10</v>
      </c>
      <c r="D9" s="6" t="n">
        <v>10</v>
      </c>
    </row>
    <row r="10" customFormat="false" ht="15" hidden="false" customHeight="false" outlineLevel="0" collapsed="false">
      <c r="A10" s="5" t="s">
        <v>42</v>
      </c>
      <c r="B10" s="6" t="n">
        <v>2</v>
      </c>
      <c r="C10" s="6" t="n">
        <v>10</v>
      </c>
      <c r="D10" s="6" t="n">
        <v>11</v>
      </c>
    </row>
    <row r="11" customFormat="false" ht="15" hidden="false" customHeight="false" outlineLevel="0" collapsed="false">
      <c r="A11" s="5" t="s">
        <v>43</v>
      </c>
      <c r="B11" s="6" t="n">
        <v>3</v>
      </c>
      <c r="C11" s="6" t="n">
        <v>11</v>
      </c>
      <c r="D11" s="6" t="n">
        <v>11</v>
      </c>
    </row>
    <row r="12" customFormat="false" ht="15" hidden="false" customHeight="false" outlineLevel="0" collapsed="false">
      <c r="A12" s="5" t="s">
        <v>44</v>
      </c>
      <c r="B12" s="6" t="n">
        <v>3</v>
      </c>
      <c r="C12" s="6" t="n">
        <v>11</v>
      </c>
      <c r="D12" s="6" t="n">
        <v>11</v>
      </c>
    </row>
    <row r="13" customFormat="false" ht="15" hidden="false" customHeight="false" outlineLevel="0" collapsed="false">
      <c r="A13" s="5" t="s">
        <v>45</v>
      </c>
      <c r="B13" s="6" t="n">
        <v>3</v>
      </c>
      <c r="C13" s="6" t="n">
        <v>11</v>
      </c>
      <c r="D13" s="6" t="n">
        <v>11</v>
      </c>
    </row>
    <row r="14" customFormat="false" ht="15" hidden="false" customHeight="false" outlineLevel="0" collapsed="false">
      <c r="A14" s="5" t="s">
        <v>46</v>
      </c>
      <c r="B14" s="6" t="n">
        <v>4</v>
      </c>
      <c r="C14" s="6" t="n">
        <v>11</v>
      </c>
      <c r="D14" s="6" t="n">
        <v>11</v>
      </c>
    </row>
    <row r="15" customFormat="false" ht="15" hidden="false" customHeight="false" outlineLevel="0" collapsed="false">
      <c r="A15" s="5" t="s">
        <v>22</v>
      </c>
      <c r="B15" s="6" t="n">
        <v>9</v>
      </c>
      <c r="C15" s="6" t="n">
        <v>12</v>
      </c>
      <c r="D15" s="6" t="n">
        <v>12</v>
      </c>
    </row>
    <row r="16" customFormat="false" ht="15" hidden="false" customHeight="false" outlineLevel="0" collapsed="false">
      <c r="A16" s="5" t="s">
        <v>23</v>
      </c>
      <c r="B16" s="6" t="n">
        <v>34</v>
      </c>
      <c r="C16" s="6" t="n">
        <v>12</v>
      </c>
      <c r="D16" s="6" t="n">
        <v>12</v>
      </c>
    </row>
    <row r="17" customFormat="false" ht="15" hidden="false" customHeight="false" outlineLevel="0" collapsed="false">
      <c r="A17" s="5" t="s">
        <v>47</v>
      </c>
      <c r="B17" s="6" t="n">
        <v>6</v>
      </c>
      <c r="C17" s="6" t="n">
        <v>12</v>
      </c>
      <c r="D17" s="6" t="n">
        <v>12</v>
      </c>
    </row>
    <row r="18" customFormat="false" ht="15" hidden="false" customHeight="false" outlineLevel="0" collapsed="false">
      <c r="A18" s="7" t="s">
        <v>25</v>
      </c>
      <c r="B18" s="8" t="n">
        <f aca="false">SUM(B5:B17)</f>
        <v>77</v>
      </c>
    </row>
    <row r="20" customFormat="false" ht="15" hidden="false" customHeight="false" outlineLevel="0" collapsed="false">
      <c r="A20" s="7" t="s">
        <v>26</v>
      </c>
    </row>
    <row r="21" customFormat="false" ht="23.85" hidden="false" customHeight="false" outlineLevel="0" collapsed="false">
      <c r="A21" s="4" t="s">
        <v>27</v>
      </c>
      <c r="B21" s="4" t="s">
        <v>28</v>
      </c>
      <c r="C21" s="4" t="s">
        <v>29</v>
      </c>
      <c r="D21" s="4" t="s">
        <v>30</v>
      </c>
    </row>
    <row r="22" customFormat="false" ht="15" hidden="false" customHeight="false" outlineLevel="0" collapsed="false">
      <c r="A22" s="9" t="s">
        <v>31</v>
      </c>
      <c r="B22" s="10" t="n">
        <f aca="false">$B$18</f>
        <v>77</v>
      </c>
      <c r="C22" s="10" t="n">
        <f aca="false">$B$18</f>
        <v>77</v>
      </c>
      <c r="D22" s="10" t="n">
        <f aca="false">$B$18</f>
        <v>77</v>
      </c>
    </row>
    <row r="23" customFormat="false" ht="15" hidden="false" customHeight="false" outlineLevel="0" collapsed="false">
      <c r="A23" s="9" t="s">
        <v>48</v>
      </c>
      <c r="B23" s="10" t="n">
        <f aca="false">$B$18*(1-1/4)</f>
        <v>57.75</v>
      </c>
      <c r="C23" s="10" t="n">
        <f aca="false">$B$18-SUMIF($C$5:$C$17,"&lt;="&amp;9,$B$5:$B$17)</f>
        <v>71</v>
      </c>
      <c r="D23" s="10" t="n">
        <f aca="false">$B$18-SUMIF($D$5:$D$17,"&lt;="&amp;9,$B$5:$B$17)</f>
        <v>71</v>
      </c>
    </row>
    <row r="24" customFormat="false" ht="15" hidden="false" customHeight="false" outlineLevel="0" collapsed="false">
      <c r="A24" s="9" t="s">
        <v>49</v>
      </c>
      <c r="B24" s="10" t="n">
        <f aca="false">$B$18*(1-2/4)</f>
        <v>38.5</v>
      </c>
      <c r="C24" s="10" t="n">
        <f aca="false">$B$18-SUMIF($C$5:$C$17,"&lt;="&amp;10,$B$5:$B$17)</f>
        <v>62</v>
      </c>
      <c r="D24" s="10" t="n">
        <f aca="false">$B$18-SUMIF($D$5:$D$17,"&lt;="&amp;10,$B$5:$B$17)</f>
        <v>64</v>
      </c>
    </row>
    <row r="25" customFormat="false" ht="15" hidden="false" customHeight="false" outlineLevel="0" collapsed="false">
      <c r="A25" s="9" t="s">
        <v>50</v>
      </c>
      <c r="B25" s="10" t="n">
        <f aca="false">$B$18*(1-3/4)</f>
        <v>19.25</v>
      </c>
      <c r="C25" s="10" t="n">
        <f aca="false">$B$18-SUMIF($C$5:$C$17,"&lt;="&amp;11,$B$5:$B$17)</f>
        <v>49</v>
      </c>
      <c r="D25" s="10" t="n">
        <f aca="false">$B$18-SUMIF($D$5:$D$17,"&lt;="&amp;11,$B$5:$B$17)</f>
        <v>49</v>
      </c>
    </row>
    <row r="26" customFormat="false" ht="15" hidden="false" customHeight="false" outlineLevel="0" collapsed="false">
      <c r="A26" s="9" t="s">
        <v>51</v>
      </c>
      <c r="B26" s="10" t="n">
        <f aca="false">$B$18*(1-4/4)</f>
        <v>0</v>
      </c>
      <c r="C26" s="10" t="n">
        <f aca="false">$B$18-SUMIF($C$5:$C$17,"&lt;="&amp;12,$B$5:$B$17)</f>
        <v>0</v>
      </c>
      <c r="D26" s="10" t="n">
        <f aca="false">$B$18-SUMIF($D$5:$D$17,"&lt;="&amp;12,$B$5:$B$17)</f>
        <v>0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4" min="2" style="0" width="14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11" t="s">
        <v>53</v>
      </c>
    </row>
    <row r="4" customFormat="false" ht="42" hidden="false" customHeight="true" outlineLevel="0" collapsed="false">
      <c r="A4" s="12" t="s">
        <v>27</v>
      </c>
      <c r="B4" s="12" t="s">
        <v>54</v>
      </c>
      <c r="C4" s="12" t="s">
        <v>55</v>
      </c>
      <c r="D4" s="12" t="s">
        <v>56</v>
      </c>
      <c r="E4" s="12" t="s">
        <v>57</v>
      </c>
      <c r="F4" s="12" t="s">
        <v>58</v>
      </c>
      <c r="G4" s="12" t="s">
        <v>59</v>
      </c>
      <c r="H4" s="12" t="s">
        <v>60</v>
      </c>
      <c r="I4" s="12" t="s">
        <v>61</v>
      </c>
      <c r="J4" s="12" t="s">
        <v>62</v>
      </c>
      <c r="K4" s="12" t="s">
        <v>63</v>
      </c>
      <c r="L4" s="12" t="s">
        <v>64</v>
      </c>
      <c r="M4" s="12" t="s">
        <v>65</v>
      </c>
      <c r="N4" s="12" t="s">
        <v>66</v>
      </c>
    </row>
    <row r="5" customFormat="false" ht="15" hidden="false" customHeight="false" outlineLevel="0" collapsed="false">
      <c r="A5" s="9" t="n">
        <v>1</v>
      </c>
      <c r="B5" s="6" t="n">
        <v>9</v>
      </c>
      <c r="C5" s="9" t="n">
        <f aca="false">SUMIF('Sprint 1'!$C$5:$C$17,A5,'Sprint 1'!$B$5:$B$17)</f>
        <v>0</v>
      </c>
      <c r="D5" s="9" t="n">
        <f aca="false">SUMIF('Sprint 2'!$C$5:$C$17,A5,'Sprint 2'!$B$5:$B$17)</f>
        <v>0</v>
      </c>
      <c r="E5" s="6" t="n">
        <v>0</v>
      </c>
      <c r="F5" s="9" t="n">
        <f aca="false">SUM(B5:E5)</f>
        <v>9</v>
      </c>
      <c r="G5" s="9" t="n">
        <f aca="false">F5</f>
        <v>9</v>
      </c>
      <c r="H5" s="6" t="n">
        <v>8</v>
      </c>
      <c r="I5" s="9" t="n">
        <f aca="false">SUMIF('Sprint 1'!$D$5:$D$17,A5,'Sprint 1'!$B$5:$B$17)</f>
        <v>0</v>
      </c>
      <c r="J5" s="9" t="n">
        <f aca="false">SUMIF('Sprint 2'!$D$5:$D$17,A5,'Sprint 2'!$B$5:$B$17)</f>
        <v>0</v>
      </c>
      <c r="K5" s="9" t="n">
        <f aca="false">SUM(H5:J5)</f>
        <v>8</v>
      </c>
      <c r="L5" s="9" t="n">
        <f aca="false">K5</f>
        <v>8</v>
      </c>
      <c r="M5" s="13" t="n">
        <f aca="false">G5/$G$22</f>
        <v>0.0315789473684211</v>
      </c>
      <c r="N5" s="13" t="n">
        <f aca="false">L5/$G$22</f>
        <v>0.0280701754385965</v>
      </c>
    </row>
    <row r="6" customFormat="false" ht="15" hidden="false" customHeight="false" outlineLevel="0" collapsed="false">
      <c r="A6" s="9" t="n">
        <v>2</v>
      </c>
      <c r="B6" s="6" t="n">
        <v>9</v>
      </c>
      <c r="C6" s="9" t="n">
        <f aca="false">SUMIF('Sprint 1'!$C$5:$C$17,A6,'Sprint 1'!$B$5:$B$17)</f>
        <v>0</v>
      </c>
      <c r="D6" s="9" t="n">
        <f aca="false">SUMIF('Sprint 2'!$C$5:$C$17,A6,'Sprint 2'!$B$5:$B$17)</f>
        <v>0</v>
      </c>
      <c r="E6" s="6" t="n">
        <v>0</v>
      </c>
      <c r="F6" s="9" t="n">
        <f aca="false">SUM(B6:E6)</f>
        <v>9</v>
      </c>
      <c r="G6" s="9" t="n">
        <f aca="false">G5+F6</f>
        <v>18</v>
      </c>
      <c r="H6" s="6" t="n">
        <v>10</v>
      </c>
      <c r="I6" s="9" t="n">
        <f aca="false">SUMIF('Sprint 1'!$D$5:$D$17,A6,'Sprint 1'!$B$5:$B$17)</f>
        <v>0</v>
      </c>
      <c r="J6" s="9" t="n">
        <f aca="false">SUMIF('Sprint 2'!$D$5:$D$17,A6,'Sprint 2'!$B$5:$B$17)</f>
        <v>0</v>
      </c>
      <c r="K6" s="9" t="n">
        <f aca="false">SUM(H6:J6)</f>
        <v>10</v>
      </c>
      <c r="L6" s="9" t="n">
        <f aca="false">L5+K6</f>
        <v>18</v>
      </c>
      <c r="M6" s="13" t="n">
        <f aca="false">G6/$G$22</f>
        <v>0.0631578947368421</v>
      </c>
      <c r="N6" s="13" t="n">
        <f aca="false">L6/$G$22</f>
        <v>0.0631578947368421</v>
      </c>
    </row>
    <row r="7" customFormat="false" ht="15" hidden="false" customHeight="false" outlineLevel="0" collapsed="false">
      <c r="A7" s="9" t="n">
        <v>3</v>
      </c>
      <c r="B7" s="6" t="n">
        <v>9</v>
      </c>
      <c r="C7" s="9" t="n">
        <f aca="false">SUMIF('Sprint 1'!$C$5:$C$17,A7,'Sprint 1'!$B$5:$B$17)</f>
        <v>0</v>
      </c>
      <c r="D7" s="9" t="n">
        <f aca="false">SUMIF('Sprint 2'!$C$5:$C$17,A7,'Sprint 2'!$B$5:$B$17)</f>
        <v>0</v>
      </c>
      <c r="E7" s="6" t="n">
        <v>0</v>
      </c>
      <c r="F7" s="9" t="n">
        <f aca="false">SUM(B7:E7)</f>
        <v>9</v>
      </c>
      <c r="G7" s="9" t="n">
        <f aca="false">G6+F7</f>
        <v>27</v>
      </c>
      <c r="H7" s="6" t="n">
        <v>9</v>
      </c>
      <c r="I7" s="9" t="n">
        <f aca="false">SUMIF('Sprint 1'!$D$5:$D$17,A7,'Sprint 1'!$B$5:$B$17)</f>
        <v>0</v>
      </c>
      <c r="J7" s="9" t="n">
        <f aca="false">SUMIF('Sprint 2'!$D$5:$D$17,A7,'Sprint 2'!$B$5:$B$17)</f>
        <v>0</v>
      </c>
      <c r="K7" s="9" t="n">
        <f aca="false">SUM(H7:J7)</f>
        <v>9</v>
      </c>
      <c r="L7" s="9" t="n">
        <f aca="false">L6+K7</f>
        <v>27</v>
      </c>
      <c r="M7" s="13" t="n">
        <f aca="false">G7/$G$22</f>
        <v>0.0947368421052632</v>
      </c>
      <c r="N7" s="13" t="n">
        <f aca="false">L7/$G$22</f>
        <v>0.0947368421052632</v>
      </c>
    </row>
    <row r="8" customFormat="false" ht="15" hidden="false" customHeight="false" outlineLevel="0" collapsed="false">
      <c r="A8" s="9" t="n">
        <v>4</v>
      </c>
      <c r="B8" s="6" t="n">
        <v>9</v>
      </c>
      <c r="C8" s="9" t="n">
        <f aca="false">SUMIF('Sprint 1'!$C$5:$C$17,A8,'Sprint 1'!$B$5:$B$17)</f>
        <v>0</v>
      </c>
      <c r="D8" s="9" t="n">
        <f aca="false">SUMIF('Sprint 2'!$C$5:$C$17,A8,'Sprint 2'!$B$5:$B$17)</f>
        <v>0</v>
      </c>
      <c r="E8" s="6" t="n">
        <v>0</v>
      </c>
      <c r="F8" s="9" t="n">
        <f aca="false">SUM(B8:E8)</f>
        <v>9</v>
      </c>
      <c r="G8" s="9" t="n">
        <f aca="false">G7+F8</f>
        <v>36</v>
      </c>
      <c r="H8" s="6" t="n">
        <v>9</v>
      </c>
      <c r="I8" s="9" t="n">
        <f aca="false">SUMIF('Sprint 1'!$D$5:$D$17,A8,'Sprint 1'!$B$5:$B$17)</f>
        <v>0</v>
      </c>
      <c r="J8" s="9" t="n">
        <f aca="false">SUMIF('Sprint 2'!$D$5:$D$17,A8,'Sprint 2'!$B$5:$B$17)</f>
        <v>0</v>
      </c>
      <c r="K8" s="9" t="n">
        <f aca="false">SUM(H8:J8)</f>
        <v>9</v>
      </c>
      <c r="L8" s="9" t="n">
        <f aca="false">L7+K8</f>
        <v>36</v>
      </c>
      <c r="M8" s="13" t="n">
        <f aca="false">G8/$G$22</f>
        <v>0.126315789473684</v>
      </c>
      <c r="N8" s="13" t="n">
        <f aca="false">L8/$G$22</f>
        <v>0.126315789473684</v>
      </c>
    </row>
    <row r="9" customFormat="false" ht="15" hidden="false" customHeight="false" outlineLevel="0" collapsed="false">
      <c r="A9" s="9" t="n">
        <v>5</v>
      </c>
      <c r="B9" s="6" t="n">
        <v>7</v>
      </c>
      <c r="C9" s="9" t="n">
        <f aca="false">SUMIF('Sprint 1'!$C$5:$C$17,A9,'Sprint 1'!$B$5:$B$17)</f>
        <v>6</v>
      </c>
      <c r="D9" s="9" t="n">
        <f aca="false">SUMIF('Sprint 2'!$C$5:$C$17,A9,'Sprint 2'!$B$5:$B$17)</f>
        <v>0</v>
      </c>
      <c r="E9" s="6" t="n">
        <v>0</v>
      </c>
      <c r="F9" s="9" t="n">
        <f aca="false">SUM(B9:E9)</f>
        <v>13</v>
      </c>
      <c r="G9" s="9" t="n">
        <f aca="false">G8+F9</f>
        <v>49</v>
      </c>
      <c r="H9" s="6" t="n">
        <v>7</v>
      </c>
      <c r="I9" s="9" t="n">
        <f aca="false">SUMIF('Sprint 1'!$D$5:$D$17,A9,'Sprint 1'!$B$5:$B$17)</f>
        <v>6</v>
      </c>
      <c r="J9" s="9" t="n">
        <f aca="false">SUMIF('Sprint 2'!$D$5:$D$17,A9,'Sprint 2'!$B$5:$B$17)</f>
        <v>0</v>
      </c>
      <c r="K9" s="9" t="n">
        <f aca="false">SUM(H9:J9)</f>
        <v>13</v>
      </c>
      <c r="L9" s="9" t="n">
        <f aca="false">L8+K9</f>
        <v>49</v>
      </c>
      <c r="M9" s="13" t="n">
        <f aca="false">G9/$G$22</f>
        <v>0.171929824561404</v>
      </c>
      <c r="N9" s="13" t="n">
        <f aca="false">L9/$G$22</f>
        <v>0.171929824561404</v>
      </c>
    </row>
    <row r="10" customFormat="false" ht="15" hidden="false" customHeight="false" outlineLevel="0" collapsed="false">
      <c r="A10" s="9" t="n">
        <v>6</v>
      </c>
      <c r="B10" s="6" t="n">
        <v>7</v>
      </c>
      <c r="C10" s="9" t="n">
        <f aca="false">SUMIF('Sprint 1'!$C$5:$C$17,A10,'Sprint 1'!$B$5:$B$17)</f>
        <v>7</v>
      </c>
      <c r="D10" s="9" t="n">
        <f aca="false">SUMIF('Sprint 2'!$C$5:$C$17,A10,'Sprint 2'!$B$5:$B$17)</f>
        <v>0</v>
      </c>
      <c r="E10" s="6" t="n">
        <v>0</v>
      </c>
      <c r="F10" s="9" t="n">
        <f aca="false">SUM(B10:E10)</f>
        <v>14</v>
      </c>
      <c r="G10" s="9" t="n">
        <f aca="false">G9+F10</f>
        <v>63</v>
      </c>
      <c r="H10" s="6" t="n">
        <v>7</v>
      </c>
      <c r="I10" s="9" t="n">
        <f aca="false">SUMIF('Sprint 1'!$D$5:$D$17,A10,'Sprint 1'!$B$5:$B$17)</f>
        <v>7</v>
      </c>
      <c r="J10" s="9" t="n">
        <f aca="false">SUMIF('Sprint 2'!$D$5:$D$17,A10,'Sprint 2'!$B$5:$B$17)</f>
        <v>0</v>
      </c>
      <c r="K10" s="9" t="n">
        <f aca="false">SUM(H10:J10)</f>
        <v>14</v>
      </c>
      <c r="L10" s="9" t="n">
        <f aca="false">L9+K10</f>
        <v>63</v>
      </c>
      <c r="M10" s="13" t="n">
        <f aca="false">G10/$G$22</f>
        <v>0.221052631578947</v>
      </c>
      <c r="N10" s="13" t="n">
        <f aca="false">L10/$G$22</f>
        <v>0.221052631578947</v>
      </c>
    </row>
    <row r="11" customFormat="false" ht="15" hidden="false" customHeight="false" outlineLevel="0" collapsed="false">
      <c r="A11" s="9" t="n">
        <v>7</v>
      </c>
      <c r="B11" s="6" t="n">
        <v>7</v>
      </c>
      <c r="C11" s="9" t="n">
        <f aca="false">SUMIF('Sprint 1'!$C$5:$C$17,A11,'Sprint 1'!$B$5:$B$17)</f>
        <v>14</v>
      </c>
      <c r="D11" s="9" t="n">
        <f aca="false">SUMIF('Sprint 2'!$C$5:$C$17,A11,'Sprint 2'!$B$5:$B$17)</f>
        <v>0</v>
      </c>
      <c r="E11" s="6" t="n">
        <v>0</v>
      </c>
      <c r="F11" s="9" t="n">
        <f aca="false">SUM(B11:E11)</f>
        <v>21</v>
      </c>
      <c r="G11" s="9" t="n">
        <f aca="false">G10+F11</f>
        <v>84</v>
      </c>
      <c r="H11" s="6" t="n">
        <v>7</v>
      </c>
      <c r="I11" s="9" t="n">
        <f aca="false">SUMIF('Sprint 1'!$D$5:$D$17,A11,'Sprint 1'!$B$5:$B$17)</f>
        <v>8</v>
      </c>
      <c r="J11" s="9" t="n">
        <f aca="false">SUMIF('Sprint 2'!$D$5:$D$17,A11,'Sprint 2'!$B$5:$B$17)</f>
        <v>0</v>
      </c>
      <c r="K11" s="9" t="n">
        <f aca="false">SUM(H11:J11)</f>
        <v>15</v>
      </c>
      <c r="L11" s="9" t="n">
        <f aca="false">L10+K11</f>
        <v>78</v>
      </c>
      <c r="M11" s="13" t="n">
        <f aca="false">G11/$G$22</f>
        <v>0.294736842105263</v>
      </c>
      <c r="N11" s="13" t="n">
        <f aca="false">L11/$G$22</f>
        <v>0.273684210526316</v>
      </c>
    </row>
    <row r="12" customFormat="false" ht="15" hidden="false" customHeight="false" outlineLevel="0" collapsed="false">
      <c r="A12" s="9" t="n">
        <v>8</v>
      </c>
      <c r="B12" s="6" t="n">
        <v>7</v>
      </c>
      <c r="C12" s="9" t="n">
        <f aca="false">SUMIF('Sprint 1'!$C$5:$C$17,A12,'Sprint 1'!$B$5:$B$17)</f>
        <v>37</v>
      </c>
      <c r="D12" s="9" t="n">
        <f aca="false">SUMIF('Sprint 2'!$C$5:$C$17,A12,'Sprint 2'!$B$5:$B$17)</f>
        <v>0</v>
      </c>
      <c r="E12" s="6" t="n">
        <v>0</v>
      </c>
      <c r="F12" s="9" t="n">
        <f aca="false">SUM(B12:E12)</f>
        <v>44</v>
      </c>
      <c r="G12" s="9" t="n">
        <f aca="false">G11+F12</f>
        <v>128</v>
      </c>
      <c r="H12" s="6" t="n">
        <v>7</v>
      </c>
      <c r="I12" s="9" t="n">
        <f aca="false">SUMIF('Sprint 1'!$D$5:$D$17,A12,'Sprint 1'!$B$5:$B$17)</f>
        <v>43</v>
      </c>
      <c r="J12" s="9" t="n">
        <f aca="false">SUMIF('Sprint 2'!$D$5:$D$17,A12,'Sprint 2'!$B$5:$B$17)</f>
        <v>0</v>
      </c>
      <c r="K12" s="9" t="n">
        <f aca="false">SUM(H12:J12)</f>
        <v>50</v>
      </c>
      <c r="L12" s="9" t="n">
        <f aca="false">L11+K12</f>
        <v>128</v>
      </c>
      <c r="M12" s="13" t="n">
        <f aca="false">G12/$G$22</f>
        <v>0.449122807017544</v>
      </c>
      <c r="N12" s="13" t="n">
        <f aca="false">L12/$G$22</f>
        <v>0.449122807017544</v>
      </c>
    </row>
    <row r="13" customFormat="false" ht="15" hidden="false" customHeight="false" outlineLevel="0" collapsed="false">
      <c r="A13" s="9" t="n">
        <v>9</v>
      </c>
      <c r="B13" s="6" t="n">
        <v>0</v>
      </c>
      <c r="C13" s="9" t="n">
        <f aca="false">SUMIF('Sprint 1'!$C$5:$C$17,A13,'Sprint 1'!$B$5:$B$17)</f>
        <v>0</v>
      </c>
      <c r="D13" s="9" t="n">
        <f aca="false">SUMIF('Sprint 2'!$C$5:$C$17,A13,'Sprint 2'!$B$5:$B$17)</f>
        <v>6</v>
      </c>
      <c r="E13" s="6" t="n">
        <v>0</v>
      </c>
      <c r="F13" s="9" t="n">
        <f aca="false">SUM(B13:E13)</f>
        <v>6</v>
      </c>
      <c r="G13" s="9" t="n">
        <f aca="false">G12+F13</f>
        <v>134</v>
      </c>
      <c r="H13" s="6" t="n">
        <v>0</v>
      </c>
      <c r="I13" s="9" t="n">
        <f aca="false">SUMIF('Sprint 1'!$D$5:$D$17,A13,'Sprint 1'!$B$5:$B$17)</f>
        <v>0</v>
      </c>
      <c r="J13" s="9" t="n">
        <f aca="false">SUMIF('Sprint 2'!$D$5:$D$17,A13,'Sprint 2'!$B$5:$B$17)</f>
        <v>6</v>
      </c>
      <c r="K13" s="9" t="n">
        <f aca="false">SUM(H13:J13)</f>
        <v>6</v>
      </c>
      <c r="L13" s="9" t="n">
        <f aca="false">L12+K13</f>
        <v>134</v>
      </c>
      <c r="M13" s="13" t="n">
        <f aca="false">G13/$G$22</f>
        <v>0.470175438596491</v>
      </c>
      <c r="N13" s="13" t="n">
        <f aca="false">L13/$G$22</f>
        <v>0.470175438596491</v>
      </c>
    </row>
    <row r="14" customFormat="false" ht="15" hidden="false" customHeight="false" outlineLevel="0" collapsed="false">
      <c r="A14" s="9" t="n">
        <v>10</v>
      </c>
      <c r="B14" s="6" t="n">
        <v>0</v>
      </c>
      <c r="C14" s="9" t="n">
        <f aca="false">SUMIF('Sprint 1'!$C$5:$C$17,A14,'Sprint 1'!$B$5:$B$17)</f>
        <v>0</v>
      </c>
      <c r="D14" s="9" t="n">
        <f aca="false">SUMIF('Sprint 2'!$C$5:$C$17,A14,'Sprint 2'!$B$5:$B$17)</f>
        <v>9</v>
      </c>
      <c r="E14" s="6" t="n">
        <v>0</v>
      </c>
      <c r="F14" s="9" t="n">
        <f aca="false">SUM(B14:E14)</f>
        <v>9</v>
      </c>
      <c r="G14" s="9" t="n">
        <f aca="false">G13+F14</f>
        <v>143</v>
      </c>
      <c r="H14" s="6" t="n">
        <v>0</v>
      </c>
      <c r="I14" s="9" t="n">
        <f aca="false">SUMIF('Sprint 1'!$D$5:$D$17,A14,'Sprint 1'!$B$5:$B$17)</f>
        <v>0</v>
      </c>
      <c r="J14" s="9" t="n">
        <f aca="false">SUMIF('Sprint 2'!$D$5:$D$17,A14,'Sprint 2'!$B$5:$B$17)</f>
        <v>7</v>
      </c>
      <c r="K14" s="9" t="n">
        <f aca="false">SUM(H14:J14)</f>
        <v>7</v>
      </c>
      <c r="L14" s="9" t="n">
        <f aca="false">L13+K14</f>
        <v>141</v>
      </c>
      <c r="M14" s="13" t="n">
        <f aca="false">G14/$G$22</f>
        <v>0.501754385964912</v>
      </c>
      <c r="N14" s="13" t="n">
        <f aca="false">L14/$G$22</f>
        <v>0.494736842105263</v>
      </c>
    </row>
    <row r="15" customFormat="false" ht="15" hidden="false" customHeight="false" outlineLevel="0" collapsed="false">
      <c r="A15" s="9" t="n">
        <v>11</v>
      </c>
      <c r="B15" s="6" t="n">
        <v>0</v>
      </c>
      <c r="C15" s="9" t="n">
        <f aca="false">SUMIF('Sprint 1'!$C$5:$C$17,A15,'Sprint 1'!$B$5:$B$17)</f>
        <v>0</v>
      </c>
      <c r="D15" s="9" t="n">
        <f aca="false">SUMIF('Sprint 2'!$C$5:$C$17,A15,'Sprint 2'!$B$5:$B$17)</f>
        <v>13</v>
      </c>
      <c r="E15" s="6" t="n">
        <v>0</v>
      </c>
      <c r="F15" s="9" t="n">
        <f aca="false">SUM(B15:E15)</f>
        <v>13</v>
      </c>
      <c r="G15" s="9" t="n">
        <f aca="false">G14+F15</f>
        <v>156</v>
      </c>
      <c r="H15" s="6" t="n">
        <v>0</v>
      </c>
      <c r="I15" s="9" t="n">
        <f aca="false">SUMIF('Sprint 1'!$D$5:$D$17,A15,'Sprint 1'!$B$5:$B$17)</f>
        <v>0</v>
      </c>
      <c r="J15" s="9" t="n">
        <f aca="false">SUMIF('Sprint 2'!$D$5:$D$17,A15,'Sprint 2'!$B$5:$B$17)</f>
        <v>15</v>
      </c>
      <c r="K15" s="9" t="n">
        <f aca="false">SUM(H15:J15)</f>
        <v>15</v>
      </c>
      <c r="L15" s="9" t="n">
        <f aca="false">L14+K15</f>
        <v>156</v>
      </c>
      <c r="M15" s="13" t="n">
        <f aca="false">G15/$G$22</f>
        <v>0.547368421052632</v>
      </c>
      <c r="N15" s="13" t="n">
        <f aca="false">L15/$G$22</f>
        <v>0.547368421052632</v>
      </c>
    </row>
    <row r="16" customFormat="false" ht="15" hidden="false" customHeight="false" outlineLevel="0" collapsed="false">
      <c r="A16" s="9" t="n">
        <v>12</v>
      </c>
      <c r="B16" s="6" t="n">
        <v>0</v>
      </c>
      <c r="C16" s="9" t="n">
        <f aca="false">SUMIF('Sprint 1'!$C$5:$C$17,A16,'Sprint 1'!$B$5:$B$17)</f>
        <v>0</v>
      </c>
      <c r="D16" s="9" t="n">
        <f aca="false">SUMIF('Sprint 2'!$C$5:$C$17,A16,'Sprint 2'!$B$5:$B$17)</f>
        <v>49</v>
      </c>
      <c r="E16" s="6" t="n">
        <v>0</v>
      </c>
      <c r="F16" s="9" t="n">
        <f aca="false">SUM(B16:E16)</f>
        <v>49</v>
      </c>
      <c r="G16" s="9" t="n">
        <f aca="false">G15+F16</f>
        <v>205</v>
      </c>
      <c r="H16" s="6" t="n">
        <v>0</v>
      </c>
      <c r="I16" s="9" t="n">
        <f aca="false">SUMIF('Sprint 1'!$D$5:$D$17,A16,'Sprint 1'!$B$5:$B$17)</f>
        <v>0</v>
      </c>
      <c r="J16" s="9" t="n">
        <f aca="false">SUMIF('Sprint 2'!$D$5:$D$17,A16,'Sprint 2'!$B$5:$B$17)</f>
        <v>49</v>
      </c>
      <c r="K16" s="9" t="n">
        <f aca="false">SUM(H16:J16)</f>
        <v>49</v>
      </c>
      <c r="L16" s="9" t="n">
        <f aca="false">L15+K16</f>
        <v>205</v>
      </c>
      <c r="M16" s="13" t="n">
        <f aca="false">G16/$G$22</f>
        <v>0.719298245614035</v>
      </c>
      <c r="N16" s="13" t="n">
        <f aca="false">L16/$G$22</f>
        <v>0.719298245614035</v>
      </c>
    </row>
    <row r="17" customFormat="false" ht="15" hidden="false" customHeight="false" outlineLevel="0" collapsed="false">
      <c r="A17" s="9" t="n">
        <v>13</v>
      </c>
      <c r="B17" s="6" t="n">
        <v>0</v>
      </c>
      <c r="C17" s="9" t="n">
        <f aca="false">SUMIF('Sprint 1'!$C$5:$C$17,A17,'Sprint 1'!$B$5:$B$17)</f>
        <v>0</v>
      </c>
      <c r="D17" s="9" t="n">
        <f aca="false">SUMIF('Sprint 2'!$C$5:$C$17,A17,'Sprint 2'!$B$5:$B$17)</f>
        <v>0</v>
      </c>
      <c r="E17" s="6" t="n">
        <v>10</v>
      </c>
      <c r="F17" s="9" t="n">
        <f aca="false">SUM(B17:E17)</f>
        <v>10</v>
      </c>
      <c r="G17" s="9" t="n">
        <f aca="false">G16+F17</f>
        <v>215</v>
      </c>
      <c r="H17" s="6"/>
      <c r="I17" s="9"/>
      <c r="J17" s="9"/>
      <c r="K17" s="9"/>
      <c r="L17" s="9"/>
      <c r="M17" s="13" t="n">
        <f aca="false">G17/$G$22</f>
        <v>0.754385964912281</v>
      </c>
      <c r="N17" s="13"/>
    </row>
    <row r="18" customFormat="false" ht="15" hidden="false" customHeight="false" outlineLevel="0" collapsed="false">
      <c r="A18" s="9" t="n">
        <v>14</v>
      </c>
      <c r="B18" s="6" t="n">
        <v>0</v>
      </c>
      <c r="C18" s="9" t="n">
        <f aca="false">SUMIF('Sprint 1'!$C$5:$C$17,A18,'Sprint 1'!$B$5:$B$17)</f>
        <v>0</v>
      </c>
      <c r="D18" s="9" t="n">
        <f aca="false">SUMIF('Sprint 2'!$C$5:$C$17,A18,'Sprint 2'!$B$5:$B$17)</f>
        <v>0</v>
      </c>
      <c r="E18" s="6" t="n">
        <v>10</v>
      </c>
      <c r="F18" s="9" t="n">
        <f aca="false">SUM(B18:E18)</f>
        <v>10</v>
      </c>
      <c r="G18" s="9" t="n">
        <f aca="false">G17+F18</f>
        <v>225</v>
      </c>
      <c r="H18" s="6"/>
      <c r="I18" s="9"/>
      <c r="J18" s="9"/>
      <c r="K18" s="9"/>
      <c r="L18" s="9"/>
      <c r="M18" s="13" t="n">
        <f aca="false">G18/$G$22</f>
        <v>0.789473684210526</v>
      </c>
      <c r="N18" s="13"/>
    </row>
    <row r="19" customFormat="false" ht="15" hidden="false" customHeight="false" outlineLevel="0" collapsed="false">
      <c r="A19" s="9" t="n">
        <v>15</v>
      </c>
      <c r="B19" s="6" t="n">
        <v>0</v>
      </c>
      <c r="C19" s="9" t="n">
        <f aca="false">SUMIF('Sprint 1'!$C$5:$C$17,A19,'Sprint 1'!$B$5:$B$17)</f>
        <v>0</v>
      </c>
      <c r="D19" s="9" t="n">
        <f aca="false">SUMIF('Sprint 2'!$C$5:$C$17,A19,'Sprint 2'!$B$5:$B$17)</f>
        <v>0</v>
      </c>
      <c r="E19" s="6" t="n">
        <v>12</v>
      </c>
      <c r="F19" s="9" t="n">
        <f aca="false">SUM(B19:E19)</f>
        <v>12</v>
      </c>
      <c r="G19" s="9" t="n">
        <f aca="false">G18+F19</f>
        <v>237</v>
      </c>
      <c r="H19" s="6"/>
      <c r="I19" s="9"/>
      <c r="J19" s="9"/>
      <c r="K19" s="9"/>
      <c r="L19" s="9"/>
      <c r="M19" s="13" t="n">
        <f aca="false">G19/$G$22</f>
        <v>0.831578947368421</v>
      </c>
      <c r="N19" s="13"/>
    </row>
    <row r="20" customFormat="false" ht="15" hidden="false" customHeight="false" outlineLevel="0" collapsed="false">
      <c r="A20" s="9" t="n">
        <v>16</v>
      </c>
      <c r="B20" s="6" t="n">
        <v>0</v>
      </c>
      <c r="C20" s="9" t="n">
        <f aca="false">SUMIF('Sprint 1'!$C$5:$C$17,A20,'Sprint 1'!$B$5:$B$17)</f>
        <v>0</v>
      </c>
      <c r="D20" s="9" t="n">
        <f aca="false">SUMIF('Sprint 2'!$C$5:$C$17,A20,'Sprint 2'!$B$5:$B$17)</f>
        <v>0</v>
      </c>
      <c r="E20" s="6" t="n">
        <v>12</v>
      </c>
      <c r="F20" s="9" t="n">
        <f aca="false">SUM(B20:E20)</f>
        <v>12</v>
      </c>
      <c r="G20" s="9" t="n">
        <f aca="false">G19+F20</f>
        <v>249</v>
      </c>
      <c r="H20" s="6"/>
      <c r="I20" s="9"/>
      <c r="J20" s="9"/>
      <c r="K20" s="9"/>
      <c r="L20" s="9"/>
      <c r="M20" s="13" t="n">
        <f aca="false">G20/$G$22</f>
        <v>0.873684210526316</v>
      </c>
      <c r="N20" s="13"/>
    </row>
    <row r="21" customFormat="false" ht="15" hidden="false" customHeight="false" outlineLevel="0" collapsed="false">
      <c r="A21" s="9" t="n">
        <v>17</v>
      </c>
      <c r="B21" s="6" t="n">
        <v>0</v>
      </c>
      <c r="C21" s="9" t="n">
        <f aca="false">SUMIF('Sprint 1'!$C$5:$C$17,A21,'Sprint 1'!$B$5:$B$17)</f>
        <v>0</v>
      </c>
      <c r="D21" s="9" t="n">
        <f aca="false">SUMIF('Sprint 2'!$C$5:$C$17,A21,'Sprint 2'!$B$5:$B$17)</f>
        <v>0</v>
      </c>
      <c r="E21" s="6" t="n">
        <v>24</v>
      </c>
      <c r="F21" s="9" t="n">
        <f aca="false">SUM(B21:E21)</f>
        <v>24</v>
      </c>
      <c r="G21" s="9" t="n">
        <f aca="false">G20+F21</f>
        <v>273</v>
      </c>
      <c r="H21" s="6"/>
      <c r="I21" s="9"/>
      <c r="J21" s="9"/>
      <c r="K21" s="9"/>
      <c r="L21" s="9"/>
      <c r="M21" s="13" t="n">
        <f aca="false">G21/$G$22</f>
        <v>0.957894736842105</v>
      </c>
      <c r="N21" s="13"/>
    </row>
    <row r="22" customFormat="false" ht="15" hidden="false" customHeight="false" outlineLevel="0" collapsed="false">
      <c r="A22" s="9" t="n">
        <v>18</v>
      </c>
      <c r="B22" s="6" t="n">
        <v>0</v>
      </c>
      <c r="C22" s="9" t="n">
        <f aca="false">SUMIF('Sprint 1'!$C$5:$C$17,A22,'Sprint 1'!$B$5:$B$17)</f>
        <v>0</v>
      </c>
      <c r="D22" s="9" t="n">
        <f aca="false">SUMIF('Sprint 2'!$C$5:$C$17,A22,'Sprint 2'!$B$5:$B$17)</f>
        <v>0</v>
      </c>
      <c r="E22" s="6" t="n">
        <v>12</v>
      </c>
      <c r="F22" s="9" t="n">
        <f aca="false">SUM(B22:E22)</f>
        <v>12</v>
      </c>
      <c r="G22" s="9" t="n">
        <f aca="false">G21+F22</f>
        <v>285</v>
      </c>
      <c r="H22" s="6"/>
      <c r="I22" s="9"/>
      <c r="J22" s="9"/>
      <c r="K22" s="9"/>
      <c r="L22" s="9"/>
      <c r="M22" s="13" t="n">
        <f aca="false">G22/$G$22</f>
        <v>1</v>
      </c>
      <c r="N22" s="13"/>
    </row>
    <row r="24" customFormat="false" ht="15" hidden="false" customHeight="false" outlineLevel="0" collapsed="false">
      <c r="A24" s="7" t="s">
        <v>67</v>
      </c>
      <c r="D24" s="14" t="n">
        <f aca="false">N16</f>
        <v>0.719298245614035</v>
      </c>
    </row>
    <row r="25" customFormat="false" ht="15" hidden="false" customHeight="false" outlineLevel="0" collapsed="false">
      <c r="A25" s="7" t="s">
        <v>68</v>
      </c>
      <c r="D25" s="14" t="n">
        <f aca="false">M16</f>
        <v>0.719298245614035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2026-10-25T17:21:34Z</dcterms:created>
  <dc:creator>openpyxl</dc:creator>
  <dc:description/>
  <dc:language>en-US</dc:language>
  <cp:lastModifiedBy/>
  <dcterms:modified xsi:type="dcterms:W3CDTF">2026-10-25T17:21:38Z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